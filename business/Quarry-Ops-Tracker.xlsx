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Content" sheetId="4" state="visible" r:id="rId4"/>
  </sheets>
  <definedNames>
    <definedName name="_xlnm._FilterDatabase" localSheetId="1" hidden="1">'Pipeline'!$A$1:$J$63</definedName>
    <definedName name="_xlnm._FilterDatabase" localSheetId="2" hidden="1">'Clients'!$A$1:$I$41</definedName>
    <definedName name="_xlnm._FilterDatabase" localSheetId="3" hidden="1">'Content'!$A$1:$G$9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2151C"/>
      <sz val="18"/>
    </font>
    <font>
      <name val="Arial"/>
      <color rgb="006B7484"/>
      <sz val="11"/>
    </font>
    <font>
      <name val="Arial"/>
      <b val="1"/>
      <color rgb="002F6BFF"/>
      <sz val="12"/>
    </font>
    <font>
      <name val="Arial"/>
      <b val="1"/>
      <sz val="11"/>
    </font>
    <font>
      <name val="Arial"/>
      <color rgb="002F6BFF"/>
      <sz val="11"/>
      <u val="single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6B7484"/>
      <sz val="10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uarry-analytics.netlify.app" TargetMode="External" Id="rId1"/><Relationship Type="http://schemas.openxmlformats.org/officeDocument/2006/relationships/hyperlink" Target="https://app.netlify.com" TargetMode="External" Id="rId2"/><Relationship Type="http://schemas.openxmlformats.org/officeDocument/2006/relationships/hyperlink" Target="https://search.google.com/search-console" TargetMode="External" Id="rId3"/><Relationship Type="http://schemas.openxmlformats.org/officeDocument/2006/relationships/hyperlink" Target="https://www.linkedin.com" TargetMode="External" Id="rId4"/><Relationship Type="http://schemas.openxmlformats.org/officeDocument/2006/relationships/hyperlink" Target="https://mail.google.co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1" t="inlineStr">
        <is>
          <t>Quarry — Ops</t>
        </is>
      </c>
    </row>
    <row r="2">
      <c r="A2" s="2" t="inlineStr">
        <is>
          <t>Your control panel. Everything in one file. (Open in Excel, or upload to Google Sheets.)</t>
        </is>
      </c>
    </row>
    <row r="4">
      <c r="A4" s="3" t="inlineStr">
        <is>
          <t>LINKS</t>
        </is>
      </c>
    </row>
    <row r="5">
      <c r="A5" s="4" t="inlineStr">
        <is>
          <t>Live site</t>
        </is>
      </c>
      <c r="B5" s="5" t="inlineStr">
        <is>
          <t>https://quarry-analytics.netlify.app</t>
        </is>
      </c>
    </row>
    <row r="6">
      <c r="A6" s="4" t="inlineStr">
        <is>
          <t>Netlify (deploys)</t>
        </is>
      </c>
      <c r="B6" s="5" t="inlineStr">
        <is>
          <t>https://app.netlify.com</t>
        </is>
      </c>
    </row>
    <row r="7">
      <c r="A7" s="4" t="inlineStr">
        <is>
          <t>Google Search Console</t>
        </is>
      </c>
      <c r="B7" s="5" t="inlineStr">
        <is>
          <t>https://search.google.com/search-console</t>
        </is>
      </c>
    </row>
    <row r="8">
      <c r="A8" s="4" t="inlineStr">
        <is>
          <t>LinkedIn</t>
        </is>
      </c>
      <c r="B8" s="5" t="inlineStr">
        <is>
          <t>https://www.linkedin.com</t>
        </is>
      </c>
    </row>
    <row r="9">
      <c r="A9" s="4" t="inlineStr">
        <is>
          <t>Gmail</t>
        </is>
      </c>
      <c r="B9" s="5" t="inlineStr">
        <is>
          <t>https://mail.google.com</t>
        </is>
      </c>
    </row>
    <row r="11">
      <c r="A11" s="3" t="inlineStr">
        <is>
          <t>WEEKLY RHYTHM</t>
        </is>
      </c>
    </row>
    <row r="12">
      <c r="A12" s="6" t="inlineStr">
        <is>
          <t>☐ Post on LinkedIn — Tue &amp; Thu (see Content tab)</t>
        </is>
      </c>
    </row>
    <row r="13">
      <c r="A13" s="6" t="inlineStr">
        <is>
          <t>☐ Send 10 cold emails (see Pipeline tab)</t>
        </is>
      </c>
    </row>
    <row r="14">
      <c r="A14" s="6" t="inlineStr">
        <is>
          <t>☐ Follow up anyone 'Contacted' 5+ days ago</t>
        </is>
      </c>
    </row>
    <row r="15">
      <c r="A15" s="6" t="inlineStr">
        <is>
          <t>☐ Move every reply forward in the Pipeline</t>
        </is>
      </c>
    </row>
    <row r="16">
      <c r="A16" s="6" t="inlineStr">
        <is>
          <t>☐ After a pilot: ask for a testimonial → new post + Clients tab</t>
        </is>
      </c>
    </row>
    <row r="18">
      <c r="A18" s="3" t="inlineStr">
        <is>
          <t>PIPELINE SNAPSHOT</t>
        </is>
      </c>
    </row>
    <row r="19">
      <c r="A19" s="6" t="inlineStr">
        <is>
          <t>To contact</t>
        </is>
      </c>
      <c r="B19" s="4">
        <f>COUNTIF(Pipeline!$G:$G,"To contact")</f>
        <v/>
      </c>
    </row>
    <row r="20">
      <c r="A20" s="6" t="inlineStr">
        <is>
          <t>Contacted</t>
        </is>
      </c>
      <c r="B20" s="4">
        <f>COUNTIF(Pipeline!$G:$G,"Contacted")</f>
        <v/>
      </c>
    </row>
    <row r="21">
      <c r="A21" s="6" t="inlineStr">
        <is>
          <t>Replied</t>
        </is>
      </c>
      <c r="B21" s="4">
        <f>COUNTIF(Pipeline!$G:$G,"Replied")</f>
        <v/>
      </c>
    </row>
    <row r="22">
      <c r="A22" s="6" t="inlineStr">
        <is>
          <t>Pilot booked</t>
        </is>
      </c>
      <c r="B22" s="4">
        <f>COUNTIF(Pipeline!$G:$G,"Pilot booked")</f>
        <v/>
      </c>
    </row>
    <row r="23">
      <c r="A23" s="6" t="inlineStr">
        <is>
          <t>Pilot delivered</t>
        </is>
      </c>
      <c r="B23" s="4">
        <f>COUNTIF(Pipeline!$G:$G,"Pilot delivered")</f>
        <v/>
      </c>
    </row>
    <row r="24">
      <c r="A24" s="6" t="inlineStr">
        <is>
          <t>Client (paid)</t>
        </is>
      </c>
      <c r="B24" s="4">
        <f>COUNTIF(Pipeline!$G:$G,"Client (paid)")</f>
        <v/>
      </c>
    </row>
    <row r="25">
      <c r="A25" s="6" t="inlineStr">
        <is>
          <t>Not now</t>
        </is>
      </c>
      <c r="B25" s="4">
        <f>COUNTIF(Pipeline!$G:$G,"Not now")</f>
        <v/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6" customWidth="1" min="4" max="4"/>
    <col width="14" customWidth="1" min="5" max="5"/>
    <col width="15" customWidth="1" min="6" max="6"/>
    <col width="15" customWidth="1" min="7" max="7"/>
    <col width="12" customWidth="1" min="8" max="8"/>
    <col width="26" customWidth="1" min="9" max="9"/>
    <col width="30" customWidth="1" min="10" max="10"/>
  </cols>
  <sheetData>
    <row r="1" ht="22" customHeight="1">
      <c r="A1" s="7" t="inlineStr">
        <is>
          <t>Business</t>
        </is>
      </c>
      <c r="B1" s="7" t="inlineStr">
        <is>
          <t>Contact</t>
        </is>
      </c>
      <c r="C1" s="7" t="inlineStr">
        <is>
          <t>Email</t>
        </is>
      </c>
      <c r="D1" s="7" t="inlineStr">
        <is>
          <t>LinkedIn</t>
        </is>
      </c>
      <c r="E1" s="7" t="inlineStr">
        <is>
          <t>Vertical</t>
        </is>
      </c>
      <c r="F1" s="7" t="inlineStr">
        <is>
          <t>Source</t>
        </is>
      </c>
      <c r="G1" s="7" t="inlineStr">
        <is>
          <t>Status</t>
        </is>
      </c>
      <c r="H1" s="7" t="inlineStr">
        <is>
          <t>Last touch</t>
        </is>
      </c>
      <c r="I1" s="7" t="inlineStr">
        <is>
          <t>Next action</t>
        </is>
      </c>
      <c r="J1" s="7" t="inlineStr">
        <is>
          <t>Notes</t>
        </is>
      </c>
    </row>
    <row r="2">
      <c r="A2" s="8" t="inlineStr">
        <is>
          <t>Northside Physio</t>
        </is>
      </c>
      <c r="B2" s="8" t="inlineStr">
        <is>
          <t>Dr. Sam Lee</t>
        </is>
      </c>
      <c r="C2" s="8" t="inlineStr">
        <is>
          <t>sam@northsidephysio.com</t>
        </is>
      </c>
      <c r="D2" s="8" t="inlineStr">
        <is>
          <t>linkedin.com/in/…</t>
        </is>
      </c>
      <c r="E2" s="8" t="inlineStr">
        <is>
          <t>Physio clinic</t>
        </is>
      </c>
      <c r="F2" s="8" t="inlineStr">
        <is>
          <t>Google Maps</t>
        </is>
      </c>
      <c r="G2" s="8" t="inlineStr">
        <is>
          <t>To contact</t>
        </is>
      </c>
      <c r="H2" s="8" t="inlineStr"/>
      <c r="I2" s="8" t="inlineStr">
        <is>
          <t>Send intro email</t>
        </is>
      </c>
      <c r="J2" s="8" t="inlineStr">
        <is>
          <t>← example row, delete</t>
        </is>
      </c>
    </row>
    <row r="3">
      <c r="A3" s="8" t="inlineStr">
        <is>
          <t>Bright Smile Dental</t>
        </is>
      </c>
      <c r="B3" s="8" t="inlineStr">
        <is>
          <t>Ana Ruiz</t>
        </is>
      </c>
      <c r="C3" s="8" t="inlineStr">
        <is>
          <t>hello@brightsmile.com</t>
        </is>
      </c>
      <c r="D3" s="8" t="inlineStr">
        <is>
          <t>linkedin.com/in/…</t>
        </is>
      </c>
      <c r="E3" s="8" t="inlineStr">
        <is>
          <t>Dental</t>
        </is>
      </c>
      <c r="F3" s="8" t="inlineStr">
        <is>
          <t>LinkedIn</t>
        </is>
      </c>
      <c r="G3" s="8" t="inlineStr">
        <is>
          <t>Contacted</t>
        </is>
      </c>
      <c r="H3" s="8" t="inlineStr">
        <is>
          <t>2026-07-08</t>
        </is>
      </c>
      <c r="I3" s="8" t="inlineStr">
        <is>
          <t>Follow up in 5 days</t>
        </is>
      </c>
      <c r="J3" s="8" t="inlineStr">
        <is>
          <t>← example row, delete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autoFilter ref="A1:J63"/>
  <dataValidations count="1">
    <dataValidation sqref="G2:G63" showDropDown="0" showInputMessage="0" showErrorMessage="0" allowBlank="1" type="list">
      <formula1>"To contact,Contacted,Replied,Pilot booked,Pilot delivered,Client (paid),Not now"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2" customWidth="1" min="5" max="5"/>
    <col width="13" customWidth="1" min="6" max="6"/>
    <col width="20" customWidth="1" min="7" max="7"/>
    <col width="14" customWidth="1" min="8" max="8"/>
    <col width="30" customWidth="1" min="9" max="9"/>
  </cols>
  <sheetData>
    <row r="1" ht="22" customHeight="1">
      <c r="A1" s="7" t="inlineStr">
        <is>
          <t>Client</t>
        </is>
      </c>
      <c r="B1" s="7" t="inlineStr">
        <is>
          <t>Vertical</t>
        </is>
      </c>
      <c r="C1" s="7" t="inlineStr">
        <is>
          <t>Plan</t>
        </is>
      </c>
      <c r="D1" s="7" t="inlineStr">
        <is>
          <t>Monthly fee</t>
        </is>
      </c>
      <c r="E1" s="7" t="inlineStr">
        <is>
          <t>Start date</t>
        </is>
      </c>
      <c r="F1" s="7" t="inlineStr">
        <is>
          <t>Renewal date</t>
        </is>
      </c>
      <c r="G1" s="7" t="inlineStr">
        <is>
          <t>Analyses (used / quota)</t>
        </is>
      </c>
      <c r="H1" s="7" t="inlineStr">
        <is>
          <t>Last report sent</t>
        </is>
      </c>
      <c r="I1" s="7" t="inlineStr">
        <is>
          <t>Notes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autoFilter ref="A1:I41"/>
  <dataValidations count="1">
    <dataValidation sqref="C2:C41" showDropDown="0" showInputMessage="0" showErrorMessage="0" allowBlank="1" type="list">
      <formula1>"Insight Report,Monthly Partner,Custom Setup"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4" customWidth="1" min="4" max="4"/>
    <col width="18" customWidth="1" min="5" max="5"/>
    <col width="10" customWidth="1" min="6" max="6"/>
    <col width="34" customWidth="1" min="7" max="7"/>
  </cols>
  <sheetData>
    <row r="1" ht="22" customHeight="1">
      <c r="A1" s="7" t="inlineStr">
        <is>
          <t>Week</t>
        </is>
      </c>
      <c r="B1" s="7" t="inlineStr">
        <is>
          <t>Day</t>
        </is>
      </c>
      <c r="C1" s="7" t="inlineStr">
        <is>
          <t>Post #</t>
        </is>
      </c>
      <c r="D1" s="7" t="inlineStr">
        <is>
          <t>Title</t>
        </is>
      </c>
      <c r="E1" s="7" t="inlineStr">
        <is>
          <t>Type</t>
        </is>
      </c>
      <c r="F1" s="7" t="inlineStr">
        <is>
          <t>Posted?</t>
        </is>
      </c>
      <c r="G1" s="7" t="inlineStr">
        <is>
          <t>Notes / engagement</t>
        </is>
      </c>
    </row>
    <row r="2">
      <c r="A2" t="n">
        <v>1</v>
      </c>
      <c r="B2" t="inlineStr">
        <is>
          <t>Tue</t>
        </is>
      </c>
      <c r="C2" t="inlineStr">
        <is>
          <t>#1</t>
        </is>
      </c>
      <c r="D2" t="inlineStr">
        <is>
          <t>The analytics gap</t>
        </is>
      </c>
      <c r="E2" t="inlineStr">
        <is>
          <t>Problem / hook</t>
        </is>
      </c>
      <c r="F2" t="inlineStr">
        <is>
          <t>No</t>
        </is>
      </c>
      <c r="G2" t="inlineStr"/>
    </row>
    <row r="3">
      <c r="A3" t="n">
        <v>1</v>
      </c>
      <c r="B3" t="inlineStr">
        <is>
          <t>Thu</t>
        </is>
      </c>
      <c r="C3" t="inlineStr">
        <is>
          <t>#2</t>
        </is>
      </c>
      <c r="D3" t="inlineStr">
        <is>
          <t>Three numbers every clinic should check</t>
        </is>
      </c>
      <c r="E3" t="inlineStr">
        <is>
          <t>Value list</t>
        </is>
      </c>
      <c r="F3" t="inlineStr">
        <is>
          <t>No</t>
        </is>
      </c>
      <c r="G3" t="inlineStr"/>
    </row>
    <row r="4">
      <c r="A4" t="n">
        <v>2</v>
      </c>
      <c r="B4" t="inlineStr">
        <is>
          <t>Tue</t>
        </is>
      </c>
      <c r="C4" t="inlineStr">
        <is>
          <t>#3</t>
        </is>
      </c>
      <c r="D4" t="inlineStr">
        <is>
          <t>The physio that almost cut its best service</t>
        </is>
      </c>
      <c r="E4" t="inlineStr">
        <is>
          <t>Case study</t>
        </is>
      </c>
      <c r="F4" t="inlineStr">
        <is>
          <t>No</t>
        </is>
      </c>
      <c r="G4" t="inlineStr"/>
    </row>
    <row r="5">
      <c r="A5" t="n">
        <v>2</v>
      </c>
      <c r="B5" t="inlineStr">
        <is>
          <t>Thu</t>
        </is>
      </c>
      <c r="C5" t="inlineStr">
        <is>
          <t>#4</t>
        </is>
      </c>
      <c r="D5" t="inlineStr">
        <is>
          <t>"Revenue's up" is dangerous</t>
        </is>
      </c>
      <c r="E5" t="inlineStr">
        <is>
          <t>Contrarian</t>
        </is>
      </c>
      <c r="F5" t="inlineStr">
        <is>
          <t>No</t>
        </is>
      </c>
      <c r="G5" t="inlineStr"/>
    </row>
    <row r="6">
      <c r="A6" t="n">
        <v>3</v>
      </c>
      <c r="B6" t="inlineStr">
        <is>
          <t>Tue</t>
        </is>
      </c>
      <c r="C6" t="inlineStr">
        <is>
          <t>#5</t>
        </is>
      </c>
      <c r="D6" t="inlineStr">
        <is>
          <t>Find your most profitable service in 10 min</t>
        </is>
      </c>
      <c r="E6" t="inlineStr">
        <is>
          <t>How-to</t>
        </is>
      </c>
      <c r="F6" t="inlineStr">
        <is>
          <t>No</t>
        </is>
      </c>
      <c r="G6" t="inlineStr"/>
    </row>
    <row r="7">
      <c r="A7" t="n">
        <v>3</v>
      </c>
      <c r="B7" t="inlineStr">
        <is>
          <t>Thu</t>
        </is>
      </c>
      <c r="C7" t="inlineStr">
        <is>
          <t>#6</t>
        </is>
      </c>
      <c r="D7" t="inlineStr">
        <is>
          <t>Why I do this</t>
        </is>
      </c>
      <c r="E7" t="inlineStr">
        <is>
          <t>Personal / mission</t>
        </is>
      </c>
      <c r="F7" t="inlineStr">
        <is>
          <t>No</t>
        </is>
      </c>
      <c r="G7" t="inlineStr"/>
    </row>
    <row r="8">
      <c r="A8" t="n">
        <v>4</v>
      </c>
      <c r="B8" t="inlineStr">
        <is>
          <t>Tue</t>
        </is>
      </c>
      <c r="C8" t="inlineStr">
        <is>
          <t>#7</t>
        </is>
      </c>
      <c r="D8" t="inlineStr">
        <is>
          <t>The 80/20 rule is costing you</t>
        </is>
      </c>
      <c r="E8" t="inlineStr">
        <is>
          <t>Myth-buster</t>
        </is>
      </c>
      <c r="F8" t="inlineStr">
        <is>
          <t>No</t>
        </is>
      </c>
      <c r="G8" t="inlineStr"/>
    </row>
    <row r="9">
      <c r="A9" t="n">
        <v>4</v>
      </c>
      <c r="B9" t="inlineStr">
        <is>
          <t>Thu</t>
        </is>
      </c>
      <c r="C9" t="inlineStr">
        <is>
          <t>#8</t>
        </is>
      </c>
      <c r="D9" t="inlineStr">
        <is>
          <t>Free analysis for 3 clinics</t>
        </is>
      </c>
      <c r="E9" t="inlineStr">
        <is>
          <t>Soft offer</t>
        </is>
      </c>
      <c r="F9" t="inlineStr">
        <is>
          <t>No</t>
        </is>
      </c>
      <c r="G9" t="inlineStr"/>
    </row>
  </sheetData>
  <autoFilter ref="A1:G9"/>
  <dataValidations count="1">
    <dataValidation sqref="F2:F9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2026-07-08T15:46:37Z</dcterms:created>
  <dcterms:modified xmlns:dcterms="http://purl.org/dc/terms/" xmlns:xsi="http://www.w3.org/2001/XMLSchema-instance" xsi:type="dcterms:W3CDTF">2026-07-08T15:46:37Z</dcterms:modified>
</cp:coreProperties>
</file>